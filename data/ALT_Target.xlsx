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표" sheetId="1" state="visible" r:id="rId1"/>
    <sheet name="연도합계" sheetId="2" state="visible" r:id="rId2"/>
    <sheet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E3E7E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" fontId="4" fillId="0" borderId="1" pivotButton="0" quotePrefix="0" xfId="0"/>
    <xf numFmtId="0" fontId="4" fillId="0" borderId="1" pivotButton="0" quotePrefix="0" xfId="0"/>
    <xf numFmtId="164" fontId="2" fillId="3" borderId="1" pivotButton="0" quotePrefix="0" xfId="0"/>
    <xf numFmtId="164" fontId="3" fillId="0" borderId="1" pivotButton="0" quotePrefix="0" xfId="0"/>
    <xf numFmtId="1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ALT_Manage</author>
  </authors>
  <commentList>
    <comment ref="C1" authorId="0" shapeId="0">
      <text>
        <t>연간 목표 약정 (억원). 노란 칸에 숫자만 입력</t>
      </text>
    </comment>
    <comment ref="D1" authorId="0" shapeId="0">
      <text>
        <t>연간 목표 집행 = 캐피털콜 납입 (억원)</t>
      </text>
    </comment>
    <comment ref="E1" authorId="0" shapeId="0">
      <text>
        <t>연간 목표 회수 = 분배 (억원)</t>
      </text>
    </comment>
    <comment ref="F1" authorId="0" shapeId="0">
      <text>
        <t>순증 = 집행 − 회수. 수식이라 입력하지 않음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연도</t>
        </is>
      </c>
      <c r="B1" s="1" t="inlineStr">
        <is>
          <t>자산군</t>
        </is>
      </c>
      <c r="C1" s="1" t="inlineStr">
        <is>
          <t>약정</t>
        </is>
      </c>
      <c r="D1" s="1" t="inlineStr">
        <is>
          <t>집행</t>
        </is>
      </c>
      <c r="E1" s="1" t="inlineStr">
        <is>
          <t>회수</t>
        </is>
      </c>
      <c r="F1" s="1" t="inlineStr">
        <is>
          <t>순증</t>
        </is>
      </c>
    </row>
    <row r="2">
      <c r="A2" s="2" t="n">
        <v>2021</v>
      </c>
      <c r="B2" s="3" t="inlineStr">
        <is>
          <t>사모</t>
        </is>
      </c>
      <c r="C2" s="4" t="n">
        <v>1300</v>
      </c>
      <c r="D2" s="4" t="n">
        <v>900</v>
      </c>
      <c r="E2" s="4" t="n">
        <v>120</v>
      </c>
      <c r="F2" s="5">
        <f>D2-E2</f>
        <v/>
      </c>
    </row>
    <row r="3">
      <c r="A3" s="2" t="n">
        <v>2021</v>
      </c>
      <c r="B3" s="3" t="inlineStr">
        <is>
          <t>부동산</t>
        </is>
      </c>
      <c r="C3" s="4" t="n">
        <v>500</v>
      </c>
      <c r="D3" s="4" t="n">
        <v>470</v>
      </c>
      <c r="E3" s="4" t="n">
        <v>40</v>
      </c>
      <c r="F3" s="5">
        <f>D3-E3</f>
        <v/>
      </c>
    </row>
    <row r="4">
      <c r="A4" s="2" t="n">
        <v>2021</v>
      </c>
      <c r="B4" s="3" t="inlineStr">
        <is>
          <t>인프라</t>
        </is>
      </c>
      <c r="C4" s="4" t="n">
        <v>400</v>
      </c>
      <c r="D4" s="4" t="n">
        <v>170</v>
      </c>
      <c r="E4" s="4" t="n">
        <v>20</v>
      </c>
      <c r="F4" s="5">
        <f>D4-E4</f>
        <v/>
      </c>
    </row>
    <row r="5">
      <c r="A5" s="2" t="n">
        <v>2022</v>
      </c>
      <c r="B5" s="3" t="inlineStr">
        <is>
          <t>사모</t>
        </is>
      </c>
      <c r="C5" s="4" t="n">
        <v>1500</v>
      </c>
      <c r="D5" s="4" t="n">
        <v>1100</v>
      </c>
      <c r="E5" s="4" t="n">
        <v>350</v>
      </c>
      <c r="F5" s="5">
        <f>D5-E5</f>
        <v/>
      </c>
    </row>
    <row r="6">
      <c r="A6" s="2" t="n">
        <v>2022</v>
      </c>
      <c r="B6" s="3" t="inlineStr">
        <is>
          <t>부동산</t>
        </is>
      </c>
      <c r="C6" s="4" t="n">
        <v>500</v>
      </c>
      <c r="D6" s="4" t="n">
        <v>430</v>
      </c>
      <c r="E6" s="4" t="n">
        <v>50</v>
      </c>
      <c r="F6" s="5">
        <f>D6-E6</f>
        <v/>
      </c>
    </row>
    <row r="7">
      <c r="A7" s="2" t="n">
        <v>2022</v>
      </c>
      <c r="B7" s="3" t="inlineStr">
        <is>
          <t>인프라</t>
        </is>
      </c>
      <c r="C7" s="4" t="n">
        <v>500</v>
      </c>
      <c r="D7" s="4" t="n">
        <v>230</v>
      </c>
      <c r="E7" s="4" t="n">
        <v>20</v>
      </c>
      <c r="F7" s="5">
        <f>D7-E7</f>
        <v/>
      </c>
    </row>
    <row r="8">
      <c r="A8" s="2" t="n">
        <v>2023</v>
      </c>
      <c r="B8" s="3" t="inlineStr">
        <is>
          <t>사모</t>
        </is>
      </c>
      <c r="C8" s="4" t="n">
        <v>1800</v>
      </c>
      <c r="D8" s="4" t="n">
        <v>1250</v>
      </c>
      <c r="E8" s="4" t="n">
        <v>600</v>
      </c>
      <c r="F8" s="5">
        <f>D8-E8</f>
        <v/>
      </c>
    </row>
    <row r="9">
      <c r="A9" s="2" t="n">
        <v>2023</v>
      </c>
      <c r="B9" s="3" t="inlineStr">
        <is>
          <t>부동산</t>
        </is>
      </c>
      <c r="C9" s="4" t="n">
        <v>600</v>
      </c>
      <c r="D9" s="4" t="n">
        <v>430</v>
      </c>
      <c r="E9" s="4" t="n">
        <v>100</v>
      </c>
      <c r="F9" s="5">
        <f>D9-E9</f>
        <v/>
      </c>
    </row>
    <row r="10">
      <c r="A10" s="2" t="n">
        <v>2023</v>
      </c>
      <c r="B10" s="3" t="inlineStr">
        <is>
          <t>인프라</t>
        </is>
      </c>
      <c r="C10" s="4" t="n">
        <v>600</v>
      </c>
      <c r="D10" s="4" t="n">
        <v>290</v>
      </c>
      <c r="E10" s="4" t="n">
        <v>30</v>
      </c>
      <c r="F10" s="5">
        <f>D10-E10</f>
        <v/>
      </c>
    </row>
    <row r="11">
      <c r="A11" s="2" t="n">
        <v>2024</v>
      </c>
      <c r="B11" s="3" t="inlineStr">
        <is>
          <t>사모</t>
        </is>
      </c>
      <c r="C11" s="4" t="n">
        <v>2000</v>
      </c>
      <c r="D11" s="4" t="n">
        <v>1500</v>
      </c>
      <c r="E11" s="4" t="n">
        <v>850</v>
      </c>
      <c r="F11" s="5">
        <f>D11-E11</f>
        <v/>
      </c>
    </row>
    <row r="12">
      <c r="A12" s="2" t="n">
        <v>2024</v>
      </c>
      <c r="B12" s="3" t="inlineStr">
        <is>
          <t>부동산</t>
        </is>
      </c>
      <c r="C12" s="4" t="n">
        <v>500</v>
      </c>
      <c r="D12" s="4" t="n">
        <v>450</v>
      </c>
      <c r="E12" s="4" t="n">
        <v>150</v>
      </c>
      <c r="F12" s="5">
        <f>D12-E12</f>
        <v/>
      </c>
    </row>
    <row r="13">
      <c r="A13" s="2" t="n">
        <v>2024</v>
      </c>
      <c r="B13" s="3" t="inlineStr">
        <is>
          <t>인프라</t>
        </is>
      </c>
      <c r="C13" s="4" t="n">
        <v>700</v>
      </c>
      <c r="D13" s="4" t="n">
        <v>350</v>
      </c>
      <c r="E13" s="4" t="n">
        <v>80</v>
      </c>
      <c r="F13" s="5">
        <f>D13-E13</f>
        <v/>
      </c>
    </row>
    <row r="14">
      <c r="A14" s="2" t="n">
        <v>2025</v>
      </c>
      <c r="B14" s="3" t="inlineStr">
        <is>
          <t>사모</t>
        </is>
      </c>
      <c r="C14" s="4" t="n">
        <v>2200</v>
      </c>
      <c r="D14" s="4" t="n">
        <v>1750</v>
      </c>
      <c r="E14" s="4" t="n">
        <v>1100</v>
      </c>
      <c r="F14" s="5">
        <f>D14-E14</f>
        <v/>
      </c>
    </row>
    <row r="15">
      <c r="A15" s="2" t="n">
        <v>2025</v>
      </c>
      <c r="B15" s="3" t="inlineStr">
        <is>
          <t>부동산</t>
        </is>
      </c>
      <c r="C15" s="4" t="n">
        <v>500</v>
      </c>
      <c r="D15" s="4" t="n">
        <v>500</v>
      </c>
      <c r="E15" s="4" t="n">
        <v>180</v>
      </c>
      <c r="F15" s="5">
        <f>D15-E15</f>
        <v/>
      </c>
    </row>
    <row r="16">
      <c r="A16" s="2" t="n">
        <v>2025</v>
      </c>
      <c r="B16" s="3" t="inlineStr">
        <is>
          <t>인프라</t>
        </is>
      </c>
      <c r="C16" s="4" t="n">
        <v>800</v>
      </c>
      <c r="D16" s="4" t="n">
        <v>500</v>
      </c>
      <c r="E16" s="4" t="n">
        <v>90</v>
      </c>
      <c r="F16" s="5">
        <f>D16-E16</f>
        <v/>
      </c>
    </row>
    <row r="17">
      <c r="A17" s="2" t="n">
        <v>2026</v>
      </c>
      <c r="B17" s="3" t="inlineStr">
        <is>
          <t>사모</t>
        </is>
      </c>
      <c r="C17" s="4" t="n">
        <v>2600</v>
      </c>
      <c r="D17" s="4" t="n">
        <v>1800</v>
      </c>
      <c r="E17" s="4" t="n">
        <v>1300</v>
      </c>
      <c r="F17" s="5">
        <f>D17-E17</f>
        <v/>
      </c>
    </row>
    <row r="18">
      <c r="A18" s="2" t="n">
        <v>2026</v>
      </c>
      <c r="B18" s="3" t="inlineStr">
        <is>
          <t>부동산</t>
        </is>
      </c>
      <c r="C18" s="4" t="n">
        <v>500</v>
      </c>
      <c r="D18" s="4" t="n">
        <v>450</v>
      </c>
      <c r="E18" s="4" t="n">
        <v>300</v>
      </c>
      <c r="F18" s="5">
        <f>D18-E18</f>
        <v/>
      </c>
    </row>
    <row r="19">
      <c r="A19" s="2" t="n">
        <v>2026</v>
      </c>
      <c r="B19" s="3" t="inlineStr">
        <is>
          <t>인프라</t>
        </is>
      </c>
      <c r="C19" s="4" t="n">
        <v>900</v>
      </c>
      <c r="D19" s="4" t="n">
        <v>600</v>
      </c>
      <c r="E19" s="4" t="n">
        <v>250</v>
      </c>
      <c r="F19" s="5">
        <f>D19-E19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연도</t>
        </is>
      </c>
      <c r="B1" s="1" t="inlineStr">
        <is>
          <t>약정</t>
        </is>
      </c>
      <c r="C1" s="1" t="inlineStr">
        <is>
          <t>집행</t>
        </is>
      </c>
      <c r="D1" s="1" t="inlineStr">
        <is>
          <t>회수</t>
        </is>
      </c>
      <c r="E1" s="1" t="inlineStr">
        <is>
          <t>순증</t>
        </is>
      </c>
    </row>
    <row r="2">
      <c r="A2" s="6" t="n">
        <v>2021</v>
      </c>
      <c r="B2" s="5">
        <f>SUMIFS(목표!C$2:C$19,목표!$A$2:$A$19,$A2)</f>
        <v/>
      </c>
      <c r="C2" s="5">
        <f>SUMIFS(목표!D$2:D$19,목표!$A$2:$A$19,$A2)</f>
        <v/>
      </c>
      <c r="D2" s="5">
        <f>SUMIFS(목표!E$2:E$19,목표!$A$2:$A$19,$A2)</f>
        <v/>
      </c>
      <c r="E2" s="5">
        <f>SUMIFS(목표!F$2:F$19,목표!$A$2:$A$19,$A2)</f>
        <v/>
      </c>
    </row>
    <row r="3">
      <c r="A3" s="6" t="n">
        <v>2022</v>
      </c>
      <c r="B3" s="5">
        <f>SUMIFS(목표!C$2:C$19,목표!$A$2:$A$19,$A3)</f>
        <v/>
      </c>
      <c r="C3" s="5">
        <f>SUMIFS(목표!D$2:D$19,목표!$A$2:$A$19,$A3)</f>
        <v/>
      </c>
      <c r="D3" s="5">
        <f>SUMIFS(목표!E$2:E$19,목표!$A$2:$A$19,$A3)</f>
        <v/>
      </c>
      <c r="E3" s="5">
        <f>SUMIFS(목표!F$2:F$19,목표!$A$2:$A$19,$A3)</f>
        <v/>
      </c>
    </row>
    <row r="4">
      <c r="A4" s="6" t="n">
        <v>2023</v>
      </c>
      <c r="B4" s="5">
        <f>SUMIFS(목표!C$2:C$19,목표!$A$2:$A$19,$A4)</f>
        <v/>
      </c>
      <c r="C4" s="5">
        <f>SUMIFS(목표!D$2:D$19,목표!$A$2:$A$19,$A4)</f>
        <v/>
      </c>
      <c r="D4" s="5">
        <f>SUMIFS(목표!E$2:E$19,목표!$A$2:$A$19,$A4)</f>
        <v/>
      </c>
      <c r="E4" s="5">
        <f>SUMIFS(목표!F$2:F$19,목표!$A$2:$A$19,$A4)</f>
        <v/>
      </c>
    </row>
    <row r="5">
      <c r="A5" s="6" t="n">
        <v>2024</v>
      </c>
      <c r="B5" s="5">
        <f>SUMIFS(목표!C$2:C$19,목표!$A$2:$A$19,$A5)</f>
        <v/>
      </c>
      <c r="C5" s="5">
        <f>SUMIFS(목표!D$2:D$19,목표!$A$2:$A$19,$A5)</f>
        <v/>
      </c>
      <c r="D5" s="5">
        <f>SUMIFS(목표!E$2:E$19,목표!$A$2:$A$19,$A5)</f>
        <v/>
      </c>
      <c r="E5" s="5">
        <f>SUMIFS(목표!F$2:F$19,목표!$A$2:$A$19,$A5)</f>
        <v/>
      </c>
    </row>
    <row r="6">
      <c r="A6" s="6" t="n">
        <v>2025</v>
      </c>
      <c r="B6" s="5">
        <f>SUMIFS(목표!C$2:C$19,목표!$A$2:$A$19,$A6)</f>
        <v/>
      </c>
      <c r="C6" s="5">
        <f>SUMIFS(목표!D$2:D$19,목표!$A$2:$A$19,$A6)</f>
        <v/>
      </c>
      <c r="D6" s="5">
        <f>SUMIFS(목표!E$2:E$19,목표!$A$2:$A$19,$A6)</f>
        <v/>
      </c>
      <c r="E6" s="5">
        <f>SUMIFS(목표!F$2:F$19,목표!$A$2:$A$19,$A6)</f>
        <v/>
      </c>
    </row>
    <row r="7">
      <c r="A7" s="6" t="n">
        <v>2026</v>
      </c>
      <c r="B7" s="5">
        <f>SUMIFS(목표!C$2:C$19,목표!$A$2:$A$19,$A7)</f>
        <v/>
      </c>
      <c r="C7" s="5">
        <f>SUMIFS(목표!D$2:D$19,목표!$A$2:$A$19,$A7)</f>
        <v/>
      </c>
      <c r="D7" s="5">
        <f>SUMIFS(목표!E$2:E$19,목표!$A$2:$A$19,$A7)</f>
        <v/>
      </c>
      <c r="E7" s="5">
        <f>SUMIFS(목표!F$2:F$19,목표!$A$2:$A$19,$A7)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대체투자 연도별 목표 입력 양식</t>
        </is>
      </c>
    </row>
    <row r="2">
      <c r="A2" s="8" t="inlineStr"/>
    </row>
    <row r="3">
      <c r="A3" s="8" t="inlineStr">
        <is>
          <t>1. '목표' 시트의 노란 칸(약정·집행·회수)에 연도·자산군별 목표를 억원 단위로 입력합니다.</t>
        </is>
      </c>
    </row>
    <row r="4">
      <c r="A4" s="8" t="inlineStr">
        <is>
          <t>2. 순증 열은 집행 − 회수 수식이므로 입력하지 않습니다.</t>
        </is>
      </c>
    </row>
    <row r="5">
      <c r="A5" s="8" t="inlineStr">
        <is>
          <t>3. 자산군은 사모 / 부동산 / 인프라 세 가지, 연도는 2021~2026입니다. 행을 늘리면 대시보드도 그대로 읽습니다.</t>
        </is>
      </c>
    </row>
    <row r="6">
      <c r="A6" s="8" t="inlineStr">
        <is>
          <t>4. '연도합계' 시트는 참고용 수식입니다.</t>
        </is>
      </c>
    </row>
    <row r="7">
      <c r="A7" s="8" t="inlineStr">
        <is>
          <t>5. 현재 들어 있는 숫자는 시연용 임의 값입니다 (출처: 없음, ALT_Manage 작업 중 작성). 내부 목표로 바꿔 주세요.</t>
        </is>
      </c>
    </row>
    <row r="8">
      <c r="A8" s="8" t="inlineStr">
        <is>
          <t>6. 대시보드는 이 파일을 pd.read_excel(sheet_name='목표') 로 읽습니다. 시트 이름과 열 이름을 바꾸지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2026-09-23T00:47:39Z</dcterms:created>
  <dcterms:modified xsi:type="dcterms:W3CDTF">2026-09-23T00:47:39Z</dcterms:modified>
</cp:coreProperties>
</file>